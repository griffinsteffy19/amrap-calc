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ffinsteffy/Documents/programing-projects/amrap-calc/"/>
    </mc:Choice>
  </mc:AlternateContent>
  <xr:revisionPtr revIDLastSave="0" documentId="8_{14A6F7A5-CA7F-B046-963A-DF3BAF3A5887}" xr6:coauthVersionLast="47" xr6:coauthVersionMax="47" xr10:uidLastSave="{00000000-0000-0000-0000-000000000000}"/>
  <bookViews>
    <workbookView xWindow="76840" yWindow="29220" windowWidth="18840" windowHeight="23460" xr2:uid="{F45D6D22-011E-6948-B82F-C29827FA80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B23" i="1"/>
  <c r="B22" i="1"/>
  <c r="B14" i="1"/>
  <c r="B10" i="1"/>
  <c r="B9" i="1"/>
  <c r="B13" i="1" s="1"/>
  <c r="B12" i="1" l="1"/>
  <c r="B16" i="1" s="1"/>
  <c r="B17" i="1" l="1"/>
  <c r="B18" i="1" l="1"/>
  <c r="B19" i="1" s="1"/>
  <c r="C22" i="1" s="1"/>
  <c r="D22" i="1" l="1"/>
  <c r="C24" i="1" l="1"/>
  <c r="C25" i="1"/>
  <c r="C23" i="1"/>
  <c r="D23" i="1" s="1"/>
  <c r="D24" i="1" s="1"/>
  <c r="D25" i="1" s="1"/>
  <c r="B27" i="1" l="1"/>
</calcChain>
</file>

<file path=xl/sharedStrings.xml><?xml version="1.0" encoding="utf-8"?>
<sst xmlns="http://schemas.openxmlformats.org/spreadsheetml/2006/main" count="29" uniqueCount="28">
  <si>
    <t>Alt. DB Snatch</t>
  </si>
  <si>
    <t>Wt'd Step Over</t>
  </si>
  <si>
    <t>HSPU</t>
  </si>
  <si>
    <t>time/mvmt</t>
  </si>
  <si>
    <t>transition</t>
  </si>
  <si>
    <t>CAP</t>
  </si>
  <si>
    <t>N</t>
  </si>
  <si>
    <t>Mult</t>
  </si>
  <si>
    <t>= M*(1+2+…+N)*(Sn + WSO + HSPU) + (N * 10)</t>
  </si>
  <si>
    <t>= M * N (N+1)/2 * (Sn + WSO + HSPU) + (N * T)</t>
  </si>
  <si>
    <t>M</t>
  </si>
  <si>
    <t>Dynamic</t>
  </si>
  <si>
    <t>Static</t>
  </si>
  <si>
    <t>a</t>
  </si>
  <si>
    <t>b</t>
  </si>
  <si>
    <t>c</t>
  </si>
  <si>
    <t>Total</t>
  </si>
  <si>
    <t>N_</t>
  </si>
  <si>
    <t>rem</t>
  </si>
  <si>
    <t>Rem[tm]</t>
  </si>
  <si>
    <t>Movements</t>
  </si>
  <si>
    <t>Sn</t>
  </si>
  <si>
    <t>WSO</t>
  </si>
  <si>
    <t>reps</t>
  </si>
  <si>
    <t>post rem tm</t>
  </si>
  <si>
    <t>Dm</t>
  </si>
  <si>
    <t>T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</si>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</sst>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E3BD-ADE2-664D-8CE2-0374CAE23229}">
  <dimension ref="A1:I27"/>
  <sheetViews>
    <sheetView tabSelected="1" zoomScale="137" workbookViewId="0">
      <selection activeCell="B19" sqref="B19"/>
    </sheetView>
  </sheetViews>
  <sheetFormatPr baseColWidth="10" defaultRowHeight="16" x14ac:dyDescent="0.2"/>
  <sheetData>
    <row r="1" spans="1:5" x14ac:dyDescent="0.2">
      <c r="B1" t="s">
        <v>3</v>
      </c>
    </row>
    <row r="2" spans="1:5" x14ac:dyDescent="0.2">
      <c r="A2" t="s">
        <v>7</v>
      </c>
      <c r="B2" t="s">
        <v>0</v>
      </c>
      <c r="C2" t="s">
        <v>1</v>
      </c>
      <c r="D2" t="s">
        <v>2</v>
      </c>
      <c r="E2" t="s">
        <v>4</v>
      </c>
    </row>
    <row r="3" spans="1:5" x14ac:dyDescent="0.2">
      <c r="A3">
        <v>2</v>
      </c>
      <c r="B3">
        <v>1.5</v>
      </c>
      <c r="C3">
        <v>4</v>
      </c>
      <c r="D3">
        <v>1.5</v>
      </c>
      <c r="E3">
        <v>10</v>
      </c>
    </row>
    <row r="5" spans="1:5" x14ac:dyDescent="0.2">
      <c r="A5" t="s">
        <v>5</v>
      </c>
    </row>
    <row r="6" spans="1:5" x14ac:dyDescent="0.2">
      <c r="A6" t="s">
        <v>16</v>
      </c>
      <c r="B6">
        <v>480</v>
      </c>
      <c r="C6" s="1" t="s">
        <v>8</v>
      </c>
    </row>
    <row r="7" spans="1:5" x14ac:dyDescent="0.2">
      <c r="C7" s="1" t="s">
        <v>9</v>
      </c>
    </row>
    <row r="8" spans="1:5" x14ac:dyDescent="0.2">
      <c r="A8" s="1" t="s">
        <v>10</v>
      </c>
      <c r="B8">
        <v>2</v>
      </c>
      <c r="C8" s="1"/>
    </row>
    <row r="9" spans="1:5" x14ac:dyDescent="0.2">
      <c r="A9" t="s">
        <v>11</v>
      </c>
      <c r="B9">
        <f>SUM(B3:D3)</f>
        <v>7</v>
      </c>
    </row>
    <row r="10" spans="1:5" x14ac:dyDescent="0.2">
      <c r="A10" t="s">
        <v>12</v>
      </c>
      <c r="B10">
        <f>E3</f>
        <v>10</v>
      </c>
    </row>
    <row r="12" spans="1:5" x14ac:dyDescent="0.2">
      <c r="A12" t="s">
        <v>13</v>
      </c>
      <c r="B12">
        <f>B8*B9</f>
        <v>14</v>
      </c>
    </row>
    <row r="13" spans="1:5" x14ac:dyDescent="0.2">
      <c r="A13" t="s">
        <v>14</v>
      </c>
      <c r="B13">
        <f>(B9*B8+2*B10)</f>
        <v>34</v>
      </c>
    </row>
    <row r="14" spans="1:5" x14ac:dyDescent="0.2">
      <c r="A14" t="s">
        <v>15</v>
      </c>
      <c r="B14">
        <f>-2*B6</f>
        <v>-960</v>
      </c>
    </row>
    <row r="16" spans="1:5" x14ac:dyDescent="0.2">
      <c r="A16" t="s">
        <v>6</v>
      </c>
      <c r="B16">
        <f>(-B13+SQRT((B13^2)-(4*B12*B14)))/(2*B12)</f>
        <v>7.1550582484957728</v>
      </c>
    </row>
    <row r="17" spans="1:9" x14ac:dyDescent="0.2">
      <c r="A17" t="s">
        <v>17</v>
      </c>
      <c r="B17">
        <f>INT(B16)</f>
        <v>7</v>
      </c>
      <c r="I17" s="1"/>
    </row>
    <row r="18" spans="1:9" x14ac:dyDescent="0.2">
      <c r="A18" t="s">
        <v>18</v>
      </c>
      <c r="B18">
        <f>B16-B17</f>
        <v>0.15505824849577277</v>
      </c>
    </row>
    <row r="19" spans="1:9" x14ac:dyDescent="0.2">
      <c r="A19" t="s">
        <v>19</v>
      </c>
      <c r="B19">
        <f>INT(B18*(B8*(B17+1)*B9+B10))</f>
        <v>18</v>
      </c>
    </row>
    <row r="21" spans="1:9" x14ac:dyDescent="0.2">
      <c r="A21" t="s">
        <v>20</v>
      </c>
      <c r="B21" t="s">
        <v>25</v>
      </c>
      <c r="C21" t="s">
        <v>23</v>
      </c>
      <c r="D21" t="s">
        <v>24</v>
      </c>
    </row>
    <row r="22" spans="1:9" x14ac:dyDescent="0.2">
      <c r="A22" t="s">
        <v>21</v>
      </c>
      <c r="B22">
        <f>B3</f>
        <v>1.5</v>
      </c>
      <c r="C22">
        <f>IF(B$19&gt;B$8*(B$17+1)*B22,B$8*(B$17+1),INT(B$19/B22))</f>
        <v>12</v>
      </c>
      <c r="D22">
        <f>B19-C22*B22</f>
        <v>0</v>
      </c>
    </row>
    <row r="23" spans="1:9" x14ac:dyDescent="0.2">
      <c r="A23" t="s">
        <v>22</v>
      </c>
      <c r="B23">
        <f>C3</f>
        <v>4</v>
      </c>
      <c r="C23">
        <f>IF(D$22&gt;B$8*(B$17+1)*B23,B$8*(B$17+1),INT(D$22/B23))</f>
        <v>0</v>
      </c>
      <c r="D23">
        <f>D22-C23*B23</f>
        <v>0</v>
      </c>
    </row>
    <row r="24" spans="1:9" x14ac:dyDescent="0.2">
      <c r="A24" t="s">
        <v>2</v>
      </c>
      <c r="B24">
        <f>D3</f>
        <v>1.5</v>
      </c>
      <c r="C24">
        <f t="shared" ref="C24:C25" si="0">IF(D$22&gt;B$8*(B$17+1)*B24,B$8*(B$17+1),INT(D$22/B24))</f>
        <v>0</v>
      </c>
      <c r="D24">
        <f t="shared" ref="D24:D25" si="1">D23-C24*B24</f>
        <v>0</v>
      </c>
    </row>
    <row r="25" spans="1:9" x14ac:dyDescent="0.2">
      <c r="A25" t="s">
        <v>26</v>
      </c>
      <c r="B25">
        <f>E3</f>
        <v>10</v>
      </c>
      <c r="C25">
        <f t="shared" si="0"/>
        <v>0</v>
      </c>
      <c r="D25">
        <f t="shared" si="1"/>
        <v>0</v>
      </c>
    </row>
    <row r="27" spans="1:9" x14ac:dyDescent="0.2">
      <c r="A27" t="s">
        <v>27</v>
      </c>
      <c r="B27" t="str">
        <f>B17&amp;"+"&amp;SUM(C22:C25)</f>
        <v>7+12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 Steffy</dc:creator>
  <cp:lastModifiedBy>Griffin Steffy</cp:lastModifiedBy>
  <dcterms:created xsi:type="dcterms:W3CDTF">2025-07-16T18:55:17Z</dcterms:created>
  <dcterms:modified xsi:type="dcterms:W3CDTF">2025-07-16T21:03:40Z</dcterms:modified>
</cp:coreProperties>
</file>